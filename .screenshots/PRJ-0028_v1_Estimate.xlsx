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se Test Wave" state="visible" r:id="rId4"/>
    <sheet sheetId="2" name="Summary" state="visible" r:id="rId5"/>
    <sheet sheetId="3" name="Gantt Chart" state="visible" r:id="rId6"/>
  </sheets>
  <calcPr calcId="171027"/>
</workbook>
</file>

<file path=xl/sharedStrings.xml><?xml version="1.0" encoding="utf-8"?>
<sst xmlns="http://schemas.openxmlformats.org/spreadsheetml/2006/main" count="167" uniqueCount="131">
  <si>
    <t>Phase Test Wave — 6 months</t>
  </si>
  <si>
    <t/>
  </si>
  <si>
    <t>Profit Margin:</t>
  </si>
  <si>
    <t>Nego Buffer:</t>
  </si>
  <si>
    <t>#</t>
  </si>
  <si>
    <t>Skill</t>
  </si>
  <si>
    <t>Level</t>
  </si>
  <si>
    <t>Location</t>
  </si>
  <si>
    <t>$/Month</t>
  </si>
  <si>
    <t>Onsite</t>
  </si>
  <si>
    <t>Travel</t>
  </si>
  <si>
    <t>Month 1</t>
  </si>
  <si>
    <t>Month 2</t>
  </si>
  <si>
    <t>Month 3</t>
  </si>
  <si>
    <t>Month 4</t>
  </si>
  <si>
    <t>Month 5</t>
  </si>
  <si>
    <t>Month 6</t>
  </si>
  <si>
    <t>Total MM</t>
  </si>
  <si>
    <t>Salary Cost</t>
  </si>
  <si>
    <t>Overhead</t>
  </si>
  <si>
    <t>OH%</t>
  </si>
  <si>
    <t>Total Cost</t>
  </si>
  <si>
    <t>Selling Price</t>
  </si>
  <si>
    <t>SP/MM</t>
  </si>
  <si>
    <t>Hourly</t>
  </si>
  <si>
    <t>Ovr $/Hr</t>
  </si>
  <si>
    <t>Comments</t>
  </si>
  <si>
    <t>Group</t>
  </si>
  <si>
    <t>TOTALS</t>
  </si>
  <si>
    <t>LOGISTICS BREAKDOWN</t>
  </si>
  <si>
    <t>Item</t>
  </si>
  <si>
    <t>Description</t>
  </si>
  <si>
    <t>Amount</t>
  </si>
  <si>
    <t>Per-diem</t>
  </si>
  <si>
    <t>Travel MM x $50 x 30d</t>
  </si>
  <si>
    <t>Accommodation</t>
  </si>
  <si>
    <t>Travel MM x $80 x 30d</t>
  </si>
  <si>
    <t>Conveyance</t>
  </si>
  <si>
    <t>Travel MM x $20 x 21d</t>
  </si>
  <si>
    <t>Air Fare</t>
  </si>
  <si>
    <t>Travel Res x $450 x 6 trips</t>
  </si>
  <si>
    <t>Visa &amp; Medical</t>
  </si>
  <si>
    <t>Travel Res x $400 x 6 trips</t>
  </si>
  <si>
    <t>Contingency</t>
  </si>
  <si>
    <t>5% of subtotal</t>
  </si>
  <si>
    <t>TOTAL LOGISTICS</t>
  </si>
  <si>
    <t>Resources Selling Price</t>
  </si>
  <si>
    <t>Wave Selling Price (Resources + Logistics)</t>
  </si>
  <si>
    <t>Nego Buffer (0%)</t>
  </si>
  <si>
    <t>WAVE FINAL PRICE</t>
  </si>
  <si>
    <t>Onsite MM</t>
  </si>
  <si>
    <t>Offshore MM</t>
  </si>
  <si>
    <t>PHASE RANGES (for Gantt Chart)</t>
  </si>
  <si>
    <t>Phase Name</t>
  </si>
  <si>
    <t>Start</t>
  </si>
  <si>
    <t>End</t>
  </si>
  <si>
    <t>Prepare</t>
  </si>
  <si>
    <t>Explore</t>
  </si>
  <si>
    <t>Realize</t>
  </si>
  <si>
    <t>YASH Technologies - EstiPro</t>
  </si>
  <si>
    <t>PROJECT ESTIMATE SUMMARY</t>
  </si>
  <si>
    <t>PARAMETERS (Edit these to update all wave calculations)</t>
  </si>
  <si>
    <t>Profit Margin %</t>
  </si>
  <si>
    <t>Nego Buffer %</t>
  </si>
  <si>
    <t>Project Number</t>
  </si>
  <si>
    <t>PRJ-0028</t>
  </si>
  <si>
    <t>Version</t>
  </si>
  <si>
    <t>v1</t>
  </si>
  <si>
    <t>Status</t>
  </si>
  <si>
    <t>draft</t>
  </si>
  <si>
    <t>Customer Name</t>
  </si>
  <si>
    <t>Saif Al Ghurair</t>
  </si>
  <si>
    <t>Project Name</t>
  </si>
  <si>
    <t>Gantt Test Project</t>
  </si>
  <si>
    <t>Project Location(s)</t>
  </si>
  <si>
    <t>—</t>
  </si>
  <si>
    <t>Technology</t>
  </si>
  <si>
    <t>SAP S/4HANA</t>
  </si>
  <si>
    <t>Sub Technology</t>
  </si>
  <si>
    <t>Project Type</t>
  </si>
  <si>
    <t>Implementation</t>
  </si>
  <si>
    <t>Sales Manager</t>
  </si>
  <si>
    <t>CRM ID</t>
  </si>
  <si>
    <t>Version Notes</t>
  </si>
  <si>
    <t>Initial version with phase ranges</t>
  </si>
  <si>
    <t>WAVE: Phase Test Wave</t>
  </si>
  <si>
    <t>Total Man-Months</t>
  </si>
  <si>
    <t>Onsite Man-Months</t>
  </si>
  <si>
    <t>Offshore Man-Months</t>
  </si>
  <si>
    <t>Total Cost to Company</t>
  </si>
  <si>
    <t>Total Logistics</t>
  </si>
  <si>
    <t>Wave Selling Price</t>
  </si>
  <si>
    <t>Nego Buffer</t>
  </si>
  <si>
    <t>Wave Final Price</t>
  </si>
  <si>
    <t>OVERALL PROJECT</t>
  </si>
  <si>
    <t>Total Onsite MM</t>
  </si>
  <si>
    <t>Total Offshore MM</t>
  </si>
  <si>
    <t>Total Resources Price</t>
  </si>
  <si>
    <t>Total Selling Price</t>
  </si>
  <si>
    <t>Total Nego Buffer</t>
  </si>
  <si>
    <t>GRAND TOTAL (Final Price)</t>
  </si>
  <si>
    <t>EFFECTIVE PROFIT MARGIN</t>
  </si>
  <si>
    <t>0.0%  (Set: 35.0%)</t>
  </si>
  <si>
    <t>COLOR LEGEND</t>
  </si>
  <si>
    <t>Landed</t>
  </si>
  <si>
    <t>Offshore resource travel to onsite with logistics applied</t>
  </si>
  <si>
    <t>Onsite (No Travel)</t>
  </si>
  <si>
    <t>Resource is onsite without travel logistics</t>
  </si>
  <si>
    <t>Offshore</t>
  </si>
  <si>
    <t>Offshore resource (no travel logistics)</t>
  </si>
  <si>
    <t>Logistics Section</t>
  </si>
  <si>
    <t>Logistics cost breakdown area</t>
  </si>
  <si>
    <t>YASH Technologies - EstiPro | Gantt Chart</t>
  </si>
  <si>
    <t>Wave</t>
  </si>
  <si>
    <t>Phase</t>
  </si>
  <si>
    <t>M1</t>
  </si>
  <si>
    <t>M2</t>
  </si>
  <si>
    <t>M3</t>
  </si>
  <si>
    <t>M4</t>
  </si>
  <si>
    <t>M5</t>
  </si>
  <si>
    <t>M6</t>
  </si>
  <si>
    <t>Phase Test Wave</t>
  </si>
  <si>
    <t>LEGEND</t>
  </si>
  <si>
    <t>Deploy</t>
  </si>
  <si>
    <t>Go-live</t>
  </si>
  <si>
    <t>Hypercare</t>
  </si>
  <si>
    <t>Design</t>
  </si>
  <si>
    <t>Build</t>
  </si>
  <si>
    <t>Test</t>
  </si>
  <si>
    <t>UAT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</si>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</sst>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FFFFFF"/>
      <sz val="11"/>
    </font>
    <font/>
    <font>
      <b/>
      <sz val="11"/>
    </font>
    <font>
      <b/>
      <color rgb="FF0F172A"/>
      <sz val="16"/>
    </font>
    <font>
      <b/>
      <color rgb="FF6B7280"/>
      <sz val="12"/>
    </font>
    <font>
      <b/>
      <i/>
      <color rgb="FF059669"/>
    </font>
    <font>
      <b/>
      <color rgb="FF374151"/>
    </font>
    <font>
      <b/>
      <sz val="12"/>
    </font>
    <font>
      <b/>
      <color rgb="FFFFFFFF"/>
      <sz val="14"/>
    </font>
    <font>
      <b/>
      <color rgb="FF4F46E5"/>
    </font>
    <font>
      <b/>
      <color rgb="FFDC2626"/>
    </font>
    <font>
      <b/>
      <color rgb="FF0F172A"/>
      <sz val="14"/>
    </font>
    <font>
      <color rgb="FF374151"/>
      <sz val="8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7C3AED"/>
      </patternFill>
    </fill>
    <fill>
      <patternFill patternType="solid">
        <fgColor rgb="FFF3E8FF"/>
      </patternFill>
    </fill>
    <fill>
      <patternFill patternType="solid">
        <fgColor rgb="FFD1FAE5"/>
      </patternFill>
    </fill>
    <fill>
      <patternFill patternType="solid">
        <fgColor rgb="FF059669"/>
      </patternFill>
    </fill>
    <fill>
      <patternFill patternType="solid">
        <fgColor rgb="FFFCA5A5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CCFBF1"/>
      </patternFill>
    </fill>
    <fill>
      <patternFill patternType="solid">
        <fgColor rgb="FFFCE7F3"/>
      </patternFill>
    </fill>
    <fill>
      <patternFill patternType="solid">
        <fgColor rgb="FFEDE9FE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F9C3"/>
      </patternFill>
    </fill>
    <fill>
      <patternFill patternType="solid">
        <fgColor rgb="FFF0FD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3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4" fontId="0" fillId="5" borderId="1" xfId="0" applyNumberFormat="1" applyFill="1" applyBorder="1"/>
    <xf numFmtId="4" fontId="2" fillId="5" borderId="1" xfId="0" applyNumberFormat="1" applyFont="1" applyFill="1" applyBorder="1"/>
    <xf numFmtId="0" fontId="4" fillId="0" borderId="0" xfId="0" applyFont="1"/>
    <xf numFmtId="4" fontId="4" fillId="0" borderId="0" xfId="0" applyNumberFormat="1" applyFont="1"/>
    <xf numFmtId="4" fontId="2" fillId="0" borderId="0" xfId="0" applyNumberFormat="1" applyFont="1"/>
    <xf numFmtId="0" fontId="2" fillId="6" borderId="0" xfId="0" applyFont="1" applyFill="1"/>
    <xf numFmtId="4" fontId="2" fillId="6" borderId="0" xfId="0" applyNumberFormat="1" applyFont="1" applyFill="1"/>
    <xf numFmtId="0" fontId="5" fillId="0" borderId="0" xfId="0" applyFont="1"/>
    <xf numFmtId="0" fontId="5" fillId="6" borderId="0" xfId="0" applyFont="1" applyFill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0" fontId="0" fillId="6" borderId="0" xfId="0" applyNumberFormat="1" applyFill="1"/>
    <xf numFmtId="0" fontId="9" fillId="0" borderId="0" xfId="0" applyFont="1"/>
    <xf numFmtId="0" fontId="10" fillId="0" borderId="0" xfId="0" applyFont="1"/>
    <xf numFmtId="0" fontId="10" fillId="3" borderId="0" xfId="0" applyFont="1" applyFill="1"/>
    <xf numFmtId="2" fontId="0" fillId="0" borderId="0" xfId="0" applyNumberFormat="1"/>
    <xf numFmtId="4" fontId="0" fillId="0" borderId="0" xfId="0" applyNumberFormat="1"/>
    <xf numFmtId="0" fontId="3" fillId="2" borderId="0" xfId="0" applyFont="1" applyFill="1"/>
    <xf numFmtId="0" fontId="11" fillId="7" borderId="1" xfId="0" applyFont="1" applyFill="1" applyBorder="1"/>
    <xf numFmtId="4" fontId="11" fillId="7" borderId="1" xfId="0" applyNumberFormat="1" applyFont="1" applyFill="1" applyBorder="1"/>
    <xf numFmtId="0" fontId="12" fillId="0" borderId="1" xfId="0" applyFont="1" applyBorder="1"/>
    <xf numFmtId="0" fontId="13" fillId="0" borderId="1" xfId="0" applyFont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14" fillId="0" borderId="0" xfId="0" applyFont="1"/>
    <xf numFmtId="0" fontId="2" fillId="0" borderId="1" xfId="0" applyFont="1" applyBorder="1"/>
    <xf numFmtId="0" fontId="15" fillId="11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FormatPr defaultRowHeight="15" outlineLevelRow="0" outlineLevelCol="0" x14ac:dyDescent="55"/>
  <cols>
    <col min="1" max="1" width="5" customWidth="1"/>
    <col min="2" max="2" width="20" customWidth="1"/>
    <col min="3" max="3" width="11" customWidth="1"/>
    <col min="4" max="4" width="20" customWidth="1"/>
    <col min="5" max="14" width="11" customWidth="1"/>
    <col min="15" max="15" width="15" customWidth="1"/>
    <col min="16" max="17" width="11" customWidth="1"/>
    <col min="18" max="19" width="15" customWidth="1"/>
    <col min="20" max="21" width="11" customWidth="1"/>
    <col min="22" max="22" width="10" customWidth="1"/>
    <col min="23" max="23" width="20" customWidth="1"/>
    <col min="24" max="24" width="8" customWidth="1"/>
  </cols>
  <sheetData>
    <row r="1" spans="1:1" s="1" customFormat="1" x14ac:dyDescent="0.25">
      <c r="A1" s="1" t="s">
        <v>0</v>
      </c>
    </row>
    <row r="2" spans="1:6" x14ac:dyDescent="0.25">
      <c r="A2" t="s">
        <v>1</v>
      </c>
      <c r="B2" s="2" t="s">
        <v>2</v>
      </c>
      <c r="C2" s="3">
        <f>Summary!$B$5</f>
        <v>0.35</v>
      </c>
      <c r="D2" t="s">
        <v>1</v>
      </c>
      <c r="E2" s="2" t="s">
        <v>3</v>
      </c>
      <c r="F2" s="3">
        <f>Summary!$B$6</f>
        <v>0</v>
      </c>
    </row>
    <row r="4" spans="1:24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</row>
    <row r="6" spans="2:2" s="2" customFormat="1" x14ac:dyDescent="0.25">
      <c r="B6" s="5" t="s">
        <v>28</v>
      </c>
    </row>
    <row r="8" spans="2:2" x14ac:dyDescent="0.25">
      <c r="B8" s="6" t="s">
        <v>29</v>
      </c>
    </row>
    <row r="9" spans="2:4" x14ac:dyDescent="0.25">
      <c r="B9" s="7" t="s">
        <v>30</v>
      </c>
      <c r="C9" s="7" t="s">
        <v>31</v>
      </c>
      <c r="D9" s="7" t="s">
        <v>32</v>
      </c>
    </row>
    <row r="10" spans="2:4" x14ac:dyDescent="0.25">
      <c r="B10" s="8" t="s">
        <v>33</v>
      </c>
      <c r="C10" s="8" t="s">
        <v>34</v>
      </c>
      <c r="D10" s="9">
        <f>(0)*50*30</f>
        <v>0</v>
      </c>
    </row>
    <row r="11" spans="2:4" x14ac:dyDescent="0.25">
      <c r="B11" s="8" t="s">
        <v>35</v>
      </c>
      <c r="C11" s="8" t="s">
        <v>36</v>
      </c>
      <c r="D11" s="9">
        <f>(0)*80*30</f>
        <v>0</v>
      </c>
    </row>
    <row r="12" spans="2:4" x14ac:dyDescent="0.25">
      <c r="B12" s="8" t="s">
        <v>37</v>
      </c>
      <c r="C12" s="8" t="s">
        <v>38</v>
      </c>
      <c r="D12" s="9">
        <f>(0)*20*21</f>
        <v>0</v>
      </c>
    </row>
    <row r="13" spans="2:4" x14ac:dyDescent="0.25">
      <c r="B13" s="8" t="s">
        <v>39</v>
      </c>
      <c r="C13" s="8" t="s">
        <v>40</v>
      </c>
      <c r="D13" s="9">
        <f>(0)*450*6</f>
        <v>0</v>
      </c>
    </row>
    <row r="14" spans="2:4" x14ac:dyDescent="0.25">
      <c r="B14" s="8" t="s">
        <v>41</v>
      </c>
      <c r="C14" s="8" t="s">
        <v>42</v>
      </c>
      <c r="D14" s="9">
        <f>(0)*400*6</f>
        <v>0</v>
      </c>
    </row>
    <row r="15" spans="2:4" x14ac:dyDescent="0.25">
      <c r="B15" s="8" t="s">
        <v>43</v>
      </c>
      <c r="C15" s="8" t="s">
        <v>44</v>
      </c>
      <c r="D15" s="9">
        <f>(D10+D11+D12+D13+D14)*5/100</f>
        <v>0</v>
      </c>
    </row>
    <row r="16" spans="2:4" x14ac:dyDescent="0.25">
      <c r="B16" s="7" t="s">
        <v>45</v>
      </c>
      <c r="D16" s="10">
        <f>D10+D11+D12+D13+D14+D15</f>
        <v>0</v>
      </c>
    </row>
    <row r="18" spans="2:3" s="11" customFormat="1" x14ac:dyDescent="0.25">
      <c r="B18" s="11" t="s">
        <v>46</v>
      </c>
      <c r="C18" s="12">
        <f>S6</f>
        <v>0</v>
      </c>
    </row>
    <row r="19" spans="2:3" s="2" customFormat="1" x14ac:dyDescent="0.25">
      <c r="B19" s="2" t="s">
        <v>47</v>
      </c>
      <c r="C19" s="13">
        <f>C18+D16</f>
        <v>0</v>
      </c>
    </row>
    <row r="20" spans="2:3" s="11" customFormat="1" x14ac:dyDescent="0.25">
      <c r="B20" s="11" t="s">
        <v>48</v>
      </c>
      <c r="C20" s="12">
        <f>C19*F2</f>
        <v>0</v>
      </c>
    </row>
    <row r="21" spans="2:3" s="2" customFormat="1" x14ac:dyDescent="0.25">
      <c r="B21" s="14" t="s">
        <v>49</v>
      </c>
      <c r="C21" s="15">
        <f>C19+C20</f>
        <v>0</v>
      </c>
    </row>
    <row r="22" spans="2:3" s="11" customFormat="1" x14ac:dyDescent="0.25">
      <c r="B22" s="11" t="s">
        <v>50</v>
      </c>
      <c r="C22" s="12">
        <f>0</f>
        <v>0</v>
      </c>
    </row>
    <row r="23" spans="2:3" s="11" customFormat="1" x14ac:dyDescent="0.25">
      <c r="B23" s="11" t="s">
        <v>51</v>
      </c>
      <c r="C23" s="12">
        <f>N6-C22</f>
        <v>0</v>
      </c>
    </row>
    <row r="25" spans="1:1" s="16" customFormat="1" x14ac:dyDescent="0.25">
      <c r="A25" s="17" t="s">
        <v>52</v>
      </c>
    </row>
    <row r="26" spans="1:3" x14ac:dyDescent="0.25">
      <c r="A26" s="5" t="s">
        <v>53</v>
      </c>
      <c r="B26" s="5" t="s">
        <v>54</v>
      </c>
      <c r="C26" s="5" t="s">
        <v>55</v>
      </c>
    </row>
    <row r="27" spans="1:3" x14ac:dyDescent="0.25">
      <c r="A27" s="18" t="s">
        <v>56</v>
      </c>
      <c r="B27" s="18">
        <v>1.5</v>
      </c>
      <c r="C27" s="18">
        <v>3</v>
      </c>
    </row>
    <row r="28" spans="1:3" x14ac:dyDescent="0.25">
      <c r="A28" s="18" t="s">
        <v>57</v>
      </c>
      <c r="B28" s="18">
        <v>2.5</v>
      </c>
      <c r="C28" s="18">
        <v>5</v>
      </c>
    </row>
    <row r="29" spans="1:3" x14ac:dyDescent="0.25">
      <c r="A29" s="18" t="s">
        <v>58</v>
      </c>
      <c r="B29" s="18">
        <v>4</v>
      </c>
      <c r="C29" s="18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B51"/>
  <sheetFormatPr defaultRowHeight="15" outlineLevelRow="0" outlineLevelCol="0" x14ac:dyDescent="55"/>
  <cols>
    <col min="1" max="1" width="30" customWidth="1"/>
    <col min="2" max="2" width="50" customWidth="1"/>
    <col min="3" max="3" width="22" customWidth="1"/>
  </cols>
  <sheetData>
    <row r="1" spans="1:1" s="19" customFormat="1" x14ac:dyDescent="0.25">
      <c r="A1" s="19" t="s">
        <v>59</v>
      </c>
    </row>
    <row r="2" spans="1:1" s="20" customFormat="1" x14ac:dyDescent="0.25">
      <c r="A2" s="20" t="s">
        <v>60</v>
      </c>
    </row>
    <row r="4" spans="1:1" s="21" customFormat="1" x14ac:dyDescent="0.25">
      <c r="A4" s="21" t="s">
        <v>61</v>
      </c>
    </row>
    <row r="5" spans="1:2" x14ac:dyDescent="0.25">
      <c r="A5" s="2" t="s">
        <v>62</v>
      </c>
      <c r="B5" s="22">
        <v>0.35</v>
      </c>
    </row>
    <row r="6" spans="1:2" x14ac:dyDescent="0.25">
      <c r="A6" s="2" t="s">
        <v>63</v>
      </c>
      <c r="B6" s="22">
        <v>0</v>
      </c>
    </row>
    <row r="8" spans="1:2" x14ac:dyDescent="0.25">
      <c r="A8" s="23" t="s">
        <v>64</v>
      </c>
      <c r="B8" t="s">
        <v>65</v>
      </c>
    </row>
    <row r="9" spans="1:2" x14ac:dyDescent="0.25">
      <c r="A9" s="23" t="s">
        <v>66</v>
      </c>
      <c r="B9" t="s">
        <v>67</v>
      </c>
    </row>
    <row r="10" spans="1:2" x14ac:dyDescent="0.25">
      <c r="A10" s="23" t="s">
        <v>68</v>
      </c>
      <c r="B10" t="s">
        <v>69</v>
      </c>
    </row>
    <row r="11" spans="1:2" x14ac:dyDescent="0.25">
      <c r="A11" s="23" t="s">
        <v>70</v>
      </c>
      <c r="B11" t="s">
        <v>71</v>
      </c>
    </row>
    <row r="12" spans="1:2" x14ac:dyDescent="0.25">
      <c r="A12" s="23" t="s">
        <v>72</v>
      </c>
      <c r="B12" t="s">
        <v>73</v>
      </c>
    </row>
    <row r="13" spans="1:2" x14ac:dyDescent="0.25">
      <c r="A13" s="23" t="s">
        <v>74</v>
      </c>
      <c r="B13" t="s">
        <v>75</v>
      </c>
    </row>
    <row r="14" spans="1:2" x14ac:dyDescent="0.25">
      <c r="A14" s="23" t="s">
        <v>76</v>
      </c>
      <c r="B14" t="s">
        <v>77</v>
      </c>
    </row>
    <row r="15" spans="1:2" x14ac:dyDescent="0.25">
      <c r="A15" s="23" t="s">
        <v>78</v>
      </c>
      <c r="B15" t="s">
        <v>1</v>
      </c>
    </row>
    <row r="16" spans="1:2" x14ac:dyDescent="0.25">
      <c r="A16" s="23" t="s">
        <v>79</v>
      </c>
      <c r="B16" t="s">
        <v>80</v>
      </c>
    </row>
    <row r="17" spans="1:2" x14ac:dyDescent="0.25">
      <c r="A17" s="23" t="s">
        <v>81</v>
      </c>
      <c r="B17" t="s">
        <v>75</v>
      </c>
    </row>
    <row r="18" spans="1:2" x14ac:dyDescent="0.25">
      <c r="A18" s="23" t="s">
        <v>82</v>
      </c>
      <c r="B18" t="s">
        <v>75</v>
      </c>
    </row>
    <row r="19" spans="1:2" x14ac:dyDescent="0.25">
      <c r="A19" s="23" t="s">
        <v>31</v>
      </c>
      <c r="B19" t="s">
        <v>1</v>
      </c>
    </row>
    <row r="20" spans="1:2" x14ac:dyDescent="0.25">
      <c r="A20" s="23" t="s">
        <v>83</v>
      </c>
      <c r="B20" t="s">
        <v>84</v>
      </c>
    </row>
    <row r="22" spans="1:1" s="24" customFormat="1" x14ac:dyDescent="0.25">
      <c r="A22" s="25" t="s">
        <v>85</v>
      </c>
    </row>
    <row r="23" spans="1:2" x14ac:dyDescent="0.25">
      <c r="A23" t="s">
        <v>86</v>
      </c>
      <c r="B23" s="26">
        <f>'Phase Test Wave'!N6</f>
        <v>0</v>
      </c>
    </row>
    <row r="24" spans="1:2" x14ac:dyDescent="0.25">
      <c r="A24" t="s">
        <v>87</v>
      </c>
      <c r="B24" s="26">
        <f>'Phase Test Wave'!C22</f>
        <v>0</v>
      </c>
    </row>
    <row r="25" spans="1:2" x14ac:dyDescent="0.25">
      <c r="A25" t="s">
        <v>88</v>
      </c>
      <c r="B25" s="26">
        <f>'Phase Test Wave'!C23</f>
        <v>0</v>
      </c>
    </row>
    <row r="26" spans="1:2" x14ac:dyDescent="0.25">
      <c r="A26" t="s">
        <v>89</v>
      </c>
      <c r="B26" s="27">
        <f>'Phase Test Wave'!R6</f>
        <v>0</v>
      </c>
    </row>
    <row r="27" spans="1:2" x14ac:dyDescent="0.25">
      <c r="A27" t="s">
        <v>90</v>
      </c>
      <c r="B27" s="27">
        <f>'Phase Test Wave'!D16</f>
        <v>0</v>
      </c>
    </row>
    <row r="28" spans="1:2" x14ac:dyDescent="0.25">
      <c r="A28" t="s">
        <v>46</v>
      </c>
      <c r="B28" s="27">
        <f>'Phase Test Wave'!C18</f>
        <v>0</v>
      </c>
    </row>
    <row r="29" spans="1:2" x14ac:dyDescent="0.25">
      <c r="A29" t="s">
        <v>91</v>
      </c>
      <c r="B29" s="27">
        <f>'Phase Test Wave'!C19</f>
        <v>0</v>
      </c>
    </row>
    <row r="30" spans="1:2" x14ac:dyDescent="0.25">
      <c r="A30" t="s">
        <v>92</v>
      </c>
      <c r="B30" s="27">
        <f>'Phase Test Wave'!C20</f>
        <v>0</v>
      </c>
    </row>
    <row r="31" spans="1:2" s="2" customFormat="1" x14ac:dyDescent="0.25">
      <c r="A31" s="14" t="s">
        <v>93</v>
      </c>
      <c r="B31" s="15">
        <f>'Phase Test Wave'!C21</f>
        <v>0</v>
      </c>
    </row>
    <row r="33" spans="1:1" s="1" customFormat="1" x14ac:dyDescent="0.25">
      <c r="A33" s="28" t="s">
        <v>94</v>
      </c>
    </row>
    <row r="34" spans="1:2" x14ac:dyDescent="0.25">
      <c r="A34" t="s">
        <v>86</v>
      </c>
      <c r="B34" s="26">
        <f>'Phase Test Wave'!N6</f>
        <v>0</v>
      </c>
    </row>
    <row r="35" spans="1:2" x14ac:dyDescent="0.25">
      <c r="A35" t="s">
        <v>95</v>
      </c>
      <c r="B35" s="26">
        <f>'Phase Test Wave'!C22</f>
        <v>0</v>
      </c>
    </row>
    <row r="36" spans="1:2" x14ac:dyDescent="0.25">
      <c r="A36" t="s">
        <v>96</v>
      </c>
      <c r="B36" s="26">
        <f>'Phase Test Wave'!C23</f>
        <v>0</v>
      </c>
    </row>
    <row r="37" spans="1:2" x14ac:dyDescent="0.25">
      <c r="A37" t="s">
        <v>90</v>
      </c>
      <c r="B37" s="27">
        <f>'Phase Test Wave'!D16</f>
        <v>0</v>
      </c>
    </row>
    <row r="38" spans="1:2" x14ac:dyDescent="0.25">
      <c r="A38" t="s">
        <v>89</v>
      </c>
      <c r="B38" s="27">
        <f>'Phase Test Wave'!R6</f>
        <v>0</v>
      </c>
    </row>
    <row r="39" spans="1:2" x14ac:dyDescent="0.25">
      <c r="A39" t="s">
        <v>97</v>
      </c>
      <c r="B39" s="27">
        <f>'Phase Test Wave'!C18</f>
        <v>0</v>
      </c>
    </row>
    <row r="40" spans="1:2" x14ac:dyDescent="0.25">
      <c r="A40" t="s">
        <v>98</v>
      </c>
      <c r="B40" s="27">
        <f>'Phase Test Wave'!C19</f>
        <v>0</v>
      </c>
    </row>
    <row r="41" spans="1:2" x14ac:dyDescent="0.25">
      <c r="A41" t="s">
        <v>99</v>
      </c>
      <c r="B41" s="27">
        <f>'Phase Test Wave'!C20</f>
        <v>0</v>
      </c>
    </row>
    <row r="42" spans="1:2" x14ac:dyDescent="0.25">
      <c r="A42" s="29" t="s">
        <v>100</v>
      </c>
      <c r="B42" s="30">
        <f>'Phase Test Wave'!C21</f>
        <v>0</v>
      </c>
    </row>
    <row r="44" spans="1:2" x14ac:dyDescent="0.25">
      <c r="A44" s="31" t="s">
        <v>101</v>
      </c>
      <c r="B44" s="32" t="s">
        <v>102</v>
      </c>
    </row>
    <row r="47" spans="1:1" s="24" customFormat="1" x14ac:dyDescent="0.25">
      <c r="A47" s="28" t="s">
        <v>103</v>
      </c>
    </row>
    <row r="48" spans="1:2" x14ac:dyDescent="0.25">
      <c r="A48" s="33" t="s">
        <v>104</v>
      </c>
      <c r="B48" s="18" t="s">
        <v>105</v>
      </c>
    </row>
    <row r="49" spans="1:2" x14ac:dyDescent="0.25">
      <c r="A49" s="34" t="s">
        <v>106</v>
      </c>
      <c r="B49" s="18" t="s">
        <v>107</v>
      </c>
    </row>
    <row r="50" spans="1:2" x14ac:dyDescent="0.25">
      <c r="A50" s="35" t="s">
        <v>108</v>
      </c>
      <c r="B50" s="18" t="s">
        <v>109</v>
      </c>
    </row>
    <row r="51" spans="1:2" x14ac:dyDescent="0.25">
      <c r="A51" s="7" t="s">
        <v>110</v>
      </c>
      <c r="B51" s="18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0"/>
  <sheetFormatPr defaultRowHeight="15" outlineLevelRow="0" outlineLevelCol="0" x14ac:dyDescent="55"/>
  <cols>
    <col min="1" max="1" width="18" customWidth="1"/>
    <col min="2" max="2" width="16" customWidth="1"/>
    <col min="3" max="8" width="6" customWidth="1"/>
  </cols>
  <sheetData>
    <row r="1" spans="1:1" s="36" customFormat="1" x14ac:dyDescent="0.25">
      <c r="A1" s="36" t="s">
        <v>112</v>
      </c>
    </row>
    <row r="3" spans="1:8" x14ac:dyDescent="0.25">
      <c r="A3" s="4" t="s">
        <v>113</v>
      </c>
      <c r="B3" s="4" t="s">
        <v>114</v>
      </c>
      <c r="C3" s="4" t="s">
        <v>115</v>
      </c>
      <c r="D3" s="4" t="s">
        <v>116</v>
      </c>
      <c r="E3" s="4" t="s">
        <v>117</v>
      </c>
      <c r="F3" s="4" t="s">
        <v>118</v>
      </c>
      <c r="G3" s="4" t="s">
        <v>119</v>
      </c>
      <c r="H3" s="4" t="s">
        <v>120</v>
      </c>
    </row>
    <row r="4" spans="1:8" x14ac:dyDescent="0.25">
      <c r="A4" s="37" t="s">
        <v>121</v>
      </c>
      <c r="B4" s="18" t="s">
        <v>56</v>
      </c>
      <c r="C4" s="18" t="s">
        <v>1</v>
      </c>
      <c r="D4" s="38" t="s">
        <v>56</v>
      </c>
      <c r="E4" s="38" t="s">
        <v>56</v>
      </c>
      <c r="F4" s="18" t="s">
        <v>1</v>
      </c>
      <c r="G4" s="18" t="s">
        <v>1</v>
      </c>
      <c r="H4" s="18" t="s">
        <v>1</v>
      </c>
    </row>
    <row r="5" spans="1:8" x14ac:dyDescent="0.25">
      <c r="A5" s="18" t="s">
        <v>1</v>
      </c>
      <c r="B5" s="18" t="s">
        <v>57</v>
      </c>
      <c r="C5" s="18" t="s">
        <v>1</v>
      </c>
      <c r="D5" s="18" t="s">
        <v>1</v>
      </c>
      <c r="E5" s="39" t="s">
        <v>57</v>
      </c>
      <c r="F5" s="39" t="s">
        <v>57</v>
      </c>
      <c r="G5" s="39" t="s">
        <v>57</v>
      </c>
      <c r="H5" s="18" t="s">
        <v>1</v>
      </c>
    </row>
    <row r="6" spans="1:8" x14ac:dyDescent="0.25">
      <c r="A6" s="18" t="s">
        <v>1</v>
      </c>
      <c r="B6" s="18" t="s">
        <v>58</v>
      </c>
      <c r="C6" s="18" t="s">
        <v>1</v>
      </c>
      <c r="D6" s="18" t="s">
        <v>1</v>
      </c>
      <c r="E6" s="18" t="s">
        <v>1</v>
      </c>
      <c r="F6" s="40" t="s">
        <v>58</v>
      </c>
      <c r="G6" s="40" t="s">
        <v>58</v>
      </c>
      <c r="H6" s="40" t="s">
        <v>58</v>
      </c>
    </row>
    <row r="9" spans="1:1" s="16" customFormat="1" x14ac:dyDescent="0.25">
      <c r="A9" s="28" t="s">
        <v>122</v>
      </c>
    </row>
    <row r="10" spans="1:1" x14ac:dyDescent="0.25">
      <c r="A10" s="41" t="s">
        <v>56</v>
      </c>
    </row>
    <row r="11" spans="1:1" x14ac:dyDescent="0.25">
      <c r="A11" s="42" t="s">
        <v>57</v>
      </c>
    </row>
    <row r="12" spans="1:1" x14ac:dyDescent="0.25">
      <c r="A12" s="43" t="s">
        <v>58</v>
      </c>
    </row>
    <row r="13" spans="1:1" x14ac:dyDescent="0.25">
      <c r="A13" s="44" t="s">
        <v>123</v>
      </c>
    </row>
    <row r="14" spans="1:1" x14ac:dyDescent="0.25">
      <c r="A14" s="45" t="s">
        <v>124</v>
      </c>
    </row>
    <row r="15" spans="1:1" x14ac:dyDescent="0.25">
      <c r="A15" s="46" t="s">
        <v>125</v>
      </c>
    </row>
    <row r="16" spans="1:1" x14ac:dyDescent="0.25">
      <c r="A16" s="47" t="s">
        <v>126</v>
      </c>
    </row>
    <row r="17" spans="1:1" x14ac:dyDescent="0.25">
      <c r="A17" s="48" t="s">
        <v>127</v>
      </c>
    </row>
    <row r="18" spans="1:1" x14ac:dyDescent="0.25">
      <c r="A18" s="49" t="s">
        <v>128</v>
      </c>
    </row>
    <row r="19" spans="1:1" x14ac:dyDescent="0.25">
      <c r="A19" s="50" t="s">
        <v>129</v>
      </c>
    </row>
    <row r="20" spans="1:1" x14ac:dyDescent="0.25">
      <c r="A20" s="5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Test Wave</vt:lpstr>
      <vt:lpstr>Summary</vt:lpstr>
      <vt:lpstr>Gantt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EstiPro</dc:creator>
  <dc:title/>
  <dc:subject/>
  <dc:description/>
  <cp:keywords/>
  <cp:category/>
  <cp:lastModifiedBy>Unknown</cp:lastModifiedBy>
  <dcterms:created xsi:type="dcterms:W3CDTF">2026-03-22T10:16:04Z</dcterms:created>
  <dcterms:modified xsi:type="dcterms:W3CDTF">2026-03-22T10:16:04Z</dcterms:modified>
</cp:coreProperties>
</file>